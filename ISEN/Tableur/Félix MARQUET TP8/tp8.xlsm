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yncrea-my.sharepoint.com/personal/felix_marquet_isen-ouest_yncrea_fr/Documents/TABLEUR/Félix MARQUET TP8/"/>
    </mc:Choice>
  </mc:AlternateContent>
  <xr:revisionPtr revIDLastSave="485" documentId="8_{C8B75FF8-A281-48E8-82ED-7467AF4D62C8}" xr6:coauthVersionLast="47" xr6:coauthVersionMax="47" xr10:uidLastSave="{8FCA8CF3-76B8-4DD7-AFEA-09AD34EAD659}"/>
  <bookViews>
    <workbookView xWindow="-120" yWindow="-120" windowWidth="29040" windowHeight="15720" tabRatio="660" activeTab="1" xr2:uid="{00000000-000D-0000-FFFF-FFFF00000000}"/>
  </bookViews>
  <sheets>
    <sheet name="tp8" sheetId="2" r:id="rId1"/>
    <sheet name="Sheet1" sheetId="1" r:id="rId2"/>
  </sheets>
  <definedNames>
    <definedName name="DonnéesExternes_1" localSheetId="0" hidden="1">'tp8'!$A$1:$H$46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" l="1"/>
  <c r="B22" i="1"/>
  <c r="B21" i="1"/>
  <c r="B19" i="1"/>
  <c r="B18" i="1"/>
  <c r="B16" i="1"/>
  <c r="B15" i="1"/>
  <c r="B13" i="1"/>
  <c r="B12" i="1"/>
  <c r="B10" i="1"/>
  <c r="B9" i="1"/>
  <c r="B8" i="1"/>
  <c r="B7" i="1"/>
  <c r="B5" i="1"/>
  <c r="B4" i="1"/>
  <c r="B3" i="1"/>
  <c r="C36" i="2"/>
  <c r="C37" i="2" s="1"/>
  <c r="C38" i="2" s="1"/>
  <c r="C39" i="2" s="1"/>
  <c r="C40" i="2" s="1"/>
  <c r="C41" i="2" s="1"/>
  <c r="C42" i="2" s="1"/>
  <c r="C43" i="2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D5DED2-7F7C-4E9A-AA6B-1346B0CFDF41}" keepAlive="1" name="Requête - tp8" description="Connexion à la requête « tp8 » dans le classeur." type="5" refreshedVersion="8" background="1" saveData="1">
    <dbPr connection="Provider=Microsoft.Mashup.OleDb.1;Data Source=$Workbook$;Location=tp8;Extended Properties=&quot;&quot;" command="SELECT * FROM [tp8]"/>
  </connection>
</connections>
</file>

<file path=xl/sharedStrings.xml><?xml version="1.0" encoding="utf-8"?>
<sst xmlns="http://schemas.openxmlformats.org/spreadsheetml/2006/main" count="156" uniqueCount="81">
  <si>
    <t>Année</t>
  </si>
  <si>
    <t>Remarque</t>
  </si>
  <si>
    <t>Population au 1er janvier</t>
  </si>
  <si>
    <t>Solde naturel</t>
  </si>
  <si>
    <t>1982</t>
  </si>
  <si>
    <t/>
  </si>
  <si>
    <t>0</t>
  </si>
  <si>
    <t>hors Mayotte</t>
  </si>
  <si>
    <t>inclus Mayotte</t>
  </si>
  <si>
    <t>66130873</t>
  </si>
  <si>
    <t>(p)</t>
  </si>
  <si>
    <t>nd</t>
  </si>
  <si>
    <t>[Insee, Note technique, 2020]</t>
  </si>
  <si>
    <t>p : populations 2021, 2022, 2023, état civil 2022, soldes migratoires 2020, 2021, 2022 : résultats provisoires à fin 2022.</t>
  </si>
  <si>
    <t>nd : non disponible.</t>
  </si>
  <si>
    <t>Champ : France hors Mayotte jusqu en 2014 et France inclus Mayotte à partir de 2014</t>
  </si>
  <si>
    <t>Source : Insee, estimations de population et statistiques de l'état civil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</si>
  <si>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</si>
  <si>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</si>
  <si>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</si>
  <si>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</si>
  <si>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</si>
  <si>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</si>
  <si>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</si>
  <si>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</si>
  <si>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</si>
  <si>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</si>
  <si>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</si>
  <si>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</si>
  <si>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</si>
  <si>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</si>
  <si>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</si>
  <si>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</si>
  <si>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</si>
  <si>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</si>
  <si>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</si>
  <si>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</si>
  <si>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</si>
  <si>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</si>
  <si>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</si>
  <si>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</si>
  <si>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</si>
  <si>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</si>
  <si>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</si>
  <si>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</si>
  <si>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</si>
  <si>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</si>
  <si>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</si>
  <si>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</si>
  <si>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</si>
  <si>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</si>
  <si>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</si>
  <si>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</si>
  <si>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</si>
  <si>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</si>
  <si>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</si>
  <si>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2023</t>
  </si>
  <si>
    <t>2024</t>
  </si>
  <si>
    <t>2025</t>
  </si>
  <si>
    <t>2026</t>
  </si>
  <si>
    <t>Nombre de naissance</t>
  </si>
  <si>
    <t>Nombre de décet</t>
  </si>
  <si>
    <t>Solde migratoire</t>
  </si>
  <si>
    <t>Ajustement</t>
  </si>
  <si>
    <t>Tableau de systhèse</t>
  </si>
  <si>
    <t>Moyenne Naissance/an</t>
  </si>
  <si>
    <t>Moyenne Decès/an</t>
  </si>
  <si>
    <t>Moyenne Solde migratoire</t>
  </si>
  <si>
    <t>Nb d'année évaluées dans cette étude</t>
  </si>
  <si>
    <t>Nb d'année &gt; 700 000 naissance</t>
  </si>
  <si>
    <t>Nb d'année &lt; 700 000 naissance</t>
  </si>
  <si>
    <t>Nb d'année 750 000 &lt; et &lt; 800 000</t>
  </si>
  <si>
    <t>Nb Naissance max</t>
  </si>
  <si>
    <t>Nb Naissance min</t>
  </si>
  <si>
    <t>Année Pic démographique</t>
  </si>
  <si>
    <t>Année Naissance min</t>
  </si>
  <si>
    <t>Nb Max decès</t>
  </si>
  <si>
    <t>Nb Min decès</t>
  </si>
  <si>
    <t>Année decès Max</t>
  </si>
  <si>
    <t>Année decès Min</t>
  </si>
  <si>
    <t>Natalité pic démographique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</si>
</sst>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[&gt;0]\+\ #,##0;[&lt;0]\-\ #,##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4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rgb="FFFF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3" fillId="0" borderId="0" xfId="0" applyNumberFormat="1" applyFont="1" applyFill="1" applyBorder="1" applyAlignment="1">
      <alignment wrapText="1"/>
    </xf>
    <xf numFmtId="167" fontId="0" fillId="0" borderId="0" xfId="0" applyNumberFormat="1"/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0" fontId="1" fillId="0" borderId="0" xfId="0" applyFont="1"/>
    <xf numFmtId="3" fontId="0" fillId="0" borderId="0" xfId="0" applyNumberFormat="1"/>
    <xf numFmtId="3" fontId="4" fillId="0" borderId="0" xfId="0" applyNumberFormat="1" applyFont="1" applyAlignment="1">
      <alignment vertical="center"/>
    </xf>
    <xf numFmtId="0" fontId="0" fillId="0" borderId="0" xfId="0"/>
  </cellXfs>
  <cellStyles count="1">
    <cellStyle name="Normal" xfId="0" builtinId="0"/>
  </cellStyles>
  <dxfs count="8">
    <dxf>
      <numFmt numFmtId="167" formatCode="[&gt;0]\+\ #,##0;[&lt;0]\-\ #,##0"/>
    </dxf>
    <dxf>
      <numFmt numFmtId="167" formatCode="[&gt;0]\+\ #,##0;[&lt;0]\-\ 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457A7523-4727-41D3-A796-4303AB4AA868}" autoFormatId="16" applyNumberFormats="0" applyBorderFormats="0" applyFontFormats="0" applyPatternFormats="0" applyAlignmentFormats="0" applyWidthHeightFormats="0">
  <queryTableRefresh nextId="9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E7E668-06E5-4266-BEA4-6F2533014E56}" name="Population" displayName="Population" ref="A1:H46" tableType="queryTable" totalsRowShown="0">
  <autoFilter ref="A1:H46" xr:uid="{6EE7E668-06E5-4266-BEA4-6F2533014E56}"/>
  <tableColumns count="8">
    <tableColumn id="1" xr3:uid="{B456ACAC-3275-4899-B5FA-87E8AFD18193}" uniqueName="1" name="Année" queryTableFieldId="1" dataDxfId="7"/>
    <tableColumn id="2" xr3:uid="{737CC5B0-CE95-4A54-9976-6CB2E0A0580F}" uniqueName="2" name="Remarque" queryTableFieldId="2" dataDxfId="6"/>
    <tableColumn id="3" xr3:uid="{696332B5-C328-4D9A-B758-369D9944B91D}" uniqueName="3" name="Population au 1er janvier" queryTableFieldId="3" dataDxfId="5"/>
    <tableColumn id="4" xr3:uid="{A35354FE-87B6-43E3-86DF-770BB7CF99E4}" uniqueName="4" name="Nombre de naissance" queryTableFieldId="4" dataDxfId="4"/>
    <tableColumn id="5" xr3:uid="{7834D23C-F3F2-49DE-9330-836C9D85DAB5}" uniqueName="5" name="Nombre de décet" queryTableFieldId="5" dataDxfId="3"/>
    <tableColumn id="6" xr3:uid="{5D46982C-57E7-4670-B35B-E8DEF589C997}" uniqueName="6" name="Solde naturel" queryTableFieldId="6" dataDxfId="1"/>
    <tableColumn id="7" xr3:uid="{3140EBAC-459B-4ECB-8BDA-2161039FE166}" uniqueName="7" name="Solde migratoire" queryTableFieldId="7" dataDxfId="0"/>
    <tableColumn id="8" xr3:uid="{3B4C675D-14DF-4265-ACCB-7F231BC7A0BF}" uniqueName="8" name="Ajustement" queryTableFieldId="8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ECE0-71F7-4C57-9E30-D525F92F6886}">
  <sheetPr codeName="Feuil1"/>
  <dimension ref="A1:H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45" sqref="D45"/>
    </sheetView>
  </sheetViews>
  <sheetFormatPr baseColWidth="10" defaultRowHeight="15"/>
  <cols>
    <col min="1" max="1" width="11.7109375" customWidth="1"/>
    <col min="2" max="2" width="15.7109375" customWidth="1"/>
    <col min="3" max="5" width="18.7109375" customWidth="1"/>
    <col min="6" max="7" width="18.7109375" style="7" customWidth="1"/>
    <col min="8" max="8" width="18.7109375" customWidth="1"/>
  </cols>
  <sheetData>
    <row r="1" spans="1:8">
      <c r="A1" t="s">
        <v>0</v>
      </c>
      <c r="B1" t="s">
        <v>1</v>
      </c>
      <c r="C1" t="s">
        <v>2</v>
      </c>
      <c r="D1" t="s">
        <v>60</v>
      </c>
      <c r="E1" t="s">
        <v>61</v>
      </c>
      <c r="F1" s="7" t="s">
        <v>3</v>
      </c>
      <c r="G1" s="7" t="s">
        <v>62</v>
      </c>
      <c r="H1" t="s">
        <v>63</v>
      </c>
    </row>
    <row r="2" spans="1:8" ht="18" customHeight="1">
      <c r="A2" s="1" t="s">
        <v>4</v>
      </c>
      <c r="B2" s="1" t="s">
        <v>7</v>
      </c>
      <c r="C2" s="2">
        <v>55572624</v>
      </c>
      <c r="D2" s="2">
        <v>823260</v>
      </c>
      <c r="E2" s="2">
        <v>550724</v>
      </c>
      <c r="F2" s="2">
        <v>272536</v>
      </c>
      <c r="G2" s="2">
        <v>60300</v>
      </c>
      <c r="H2" s="2" t="s">
        <v>6</v>
      </c>
    </row>
    <row r="3" spans="1:8" ht="18" customHeight="1">
      <c r="A3" s="1" t="s">
        <v>17</v>
      </c>
      <c r="B3" s="1" t="s">
        <v>7</v>
      </c>
      <c r="C3" s="2">
        <f>C2+D2-E2+G2+H2</f>
        <v>55905460</v>
      </c>
      <c r="D3" s="2">
        <v>775441</v>
      </c>
      <c r="E3" s="2">
        <v>567755</v>
      </c>
      <c r="F3" s="2">
        <v>207686</v>
      </c>
      <c r="G3" s="2">
        <v>53029</v>
      </c>
      <c r="H3" s="2" t="s">
        <v>6</v>
      </c>
    </row>
    <row r="4" spans="1:8" ht="18" customHeight="1">
      <c r="A4" s="1" t="s">
        <v>18</v>
      </c>
      <c r="B4" s="1" t="s">
        <v>7</v>
      </c>
      <c r="C4" s="2">
        <f t="shared" ref="C4:C43" si="0">C3+D3-E3+G3+H3</f>
        <v>56166175</v>
      </c>
      <c r="D4" s="2">
        <v>787429</v>
      </c>
      <c r="E4" s="2">
        <v>550259</v>
      </c>
      <c r="F4" s="2">
        <v>237170</v>
      </c>
      <c r="G4" s="2">
        <v>41403</v>
      </c>
      <c r="H4" s="2" t="s">
        <v>6</v>
      </c>
    </row>
    <row r="5" spans="1:8" ht="18" customHeight="1">
      <c r="A5" s="1" t="s">
        <v>19</v>
      </c>
      <c r="B5" s="1" t="s">
        <v>7</v>
      </c>
      <c r="C5" s="2">
        <f t="shared" si="0"/>
        <v>56444748</v>
      </c>
      <c r="D5" s="2">
        <v>796138</v>
      </c>
      <c r="E5" s="2">
        <v>560393</v>
      </c>
      <c r="F5" s="2">
        <v>235745</v>
      </c>
      <c r="G5" s="2">
        <v>39442</v>
      </c>
      <c r="H5" s="2" t="s">
        <v>6</v>
      </c>
    </row>
    <row r="6" spans="1:8" ht="18" customHeight="1">
      <c r="A6" s="1" t="s">
        <v>20</v>
      </c>
      <c r="B6" s="1" t="s">
        <v>7</v>
      </c>
      <c r="C6" s="2">
        <f t="shared" si="0"/>
        <v>56719935</v>
      </c>
      <c r="D6" s="2">
        <v>805543</v>
      </c>
      <c r="E6" s="2">
        <v>554738</v>
      </c>
      <c r="F6" s="2">
        <v>250805</v>
      </c>
      <c r="G6" s="2">
        <v>41528</v>
      </c>
      <c r="H6" s="2" t="s">
        <v>6</v>
      </c>
    </row>
    <row r="7" spans="1:8" ht="18" customHeight="1">
      <c r="A7" s="1" t="s">
        <v>21</v>
      </c>
      <c r="B7" s="1" t="s">
        <v>7</v>
      </c>
      <c r="C7" s="2">
        <f t="shared" si="0"/>
        <v>57012268</v>
      </c>
      <c r="D7" s="2">
        <v>795790</v>
      </c>
      <c r="E7" s="2">
        <v>535389</v>
      </c>
      <c r="F7" s="2">
        <v>260401</v>
      </c>
      <c r="G7" s="2">
        <v>52384</v>
      </c>
      <c r="H7" s="2" t="s">
        <v>6</v>
      </c>
    </row>
    <row r="8" spans="1:8" ht="18" customHeight="1">
      <c r="A8" s="1" t="s">
        <v>22</v>
      </c>
      <c r="B8" s="1" t="s">
        <v>7</v>
      </c>
      <c r="C8" s="2">
        <f t="shared" si="0"/>
        <v>57325053</v>
      </c>
      <c r="D8" s="2">
        <v>800560</v>
      </c>
      <c r="E8" s="2">
        <v>532527</v>
      </c>
      <c r="F8" s="2">
        <v>268033</v>
      </c>
      <c r="G8" s="2">
        <v>66456</v>
      </c>
      <c r="H8" s="2" t="s">
        <v>6</v>
      </c>
    </row>
    <row r="9" spans="1:8" ht="18" customHeight="1">
      <c r="A9" s="1" t="s">
        <v>23</v>
      </c>
      <c r="B9" s="1" t="s">
        <v>7</v>
      </c>
      <c r="C9" s="2">
        <f t="shared" si="0"/>
        <v>57659542</v>
      </c>
      <c r="D9" s="2">
        <v>796101</v>
      </c>
      <c r="E9" s="2">
        <v>537527</v>
      </c>
      <c r="F9" s="2">
        <v>258574</v>
      </c>
      <c r="G9" s="2">
        <v>78285</v>
      </c>
      <c r="H9" s="2" t="s">
        <v>6</v>
      </c>
    </row>
    <row r="10" spans="1:8" ht="18" customHeight="1">
      <c r="A10" s="1" t="s">
        <v>24</v>
      </c>
      <c r="B10" s="1" t="s">
        <v>7</v>
      </c>
      <c r="C10" s="2">
        <f t="shared" si="0"/>
        <v>57996401</v>
      </c>
      <c r="D10" s="2">
        <v>793071</v>
      </c>
      <c r="E10" s="2">
        <v>534386</v>
      </c>
      <c r="F10" s="2">
        <v>258685</v>
      </c>
      <c r="G10" s="2">
        <v>77393</v>
      </c>
      <c r="H10" s="2">
        <v>-52344</v>
      </c>
    </row>
    <row r="11" spans="1:8" ht="18" customHeight="1">
      <c r="A11" s="1" t="s">
        <v>25</v>
      </c>
      <c r="B11" s="1" t="s">
        <v>7</v>
      </c>
      <c r="C11" s="2">
        <f t="shared" si="0"/>
        <v>58280135</v>
      </c>
      <c r="D11" s="2">
        <v>790078</v>
      </c>
      <c r="E11" s="2">
        <v>532887</v>
      </c>
      <c r="F11" s="2">
        <v>257191</v>
      </c>
      <c r="G11" s="2">
        <v>88397</v>
      </c>
      <c r="H11" s="2">
        <v>-54486</v>
      </c>
    </row>
    <row r="12" spans="1:8" ht="18" customHeight="1">
      <c r="A12" s="1" t="s">
        <v>26</v>
      </c>
      <c r="B12" s="1" t="s">
        <v>7</v>
      </c>
      <c r="C12" s="2">
        <f t="shared" si="0"/>
        <v>58571237</v>
      </c>
      <c r="D12" s="2">
        <v>774755</v>
      </c>
      <c r="E12" s="2">
        <v>529814</v>
      </c>
      <c r="F12" s="2">
        <v>244941</v>
      </c>
      <c r="G12" s="2">
        <v>89349</v>
      </c>
      <c r="H12" s="2">
        <v>-53525</v>
      </c>
    </row>
    <row r="13" spans="1:8" ht="18" customHeight="1">
      <c r="A13" s="1" t="s">
        <v>27</v>
      </c>
      <c r="B13" s="1" t="s">
        <v>7</v>
      </c>
      <c r="C13" s="2">
        <f t="shared" si="0"/>
        <v>58852002</v>
      </c>
      <c r="D13" s="2">
        <v>741306</v>
      </c>
      <c r="E13" s="2">
        <v>540533</v>
      </c>
      <c r="F13" s="2">
        <v>200773</v>
      </c>
      <c r="G13" s="2">
        <v>70340</v>
      </c>
      <c r="H13" s="2">
        <v>-53038</v>
      </c>
    </row>
    <row r="14" spans="1:8" ht="18" customHeight="1">
      <c r="A14" s="1" t="s">
        <v>28</v>
      </c>
      <c r="B14" s="1" t="s">
        <v>7</v>
      </c>
      <c r="C14" s="2">
        <f t="shared" si="0"/>
        <v>59070077</v>
      </c>
      <c r="D14" s="2">
        <v>740774</v>
      </c>
      <c r="E14" s="2">
        <v>528121</v>
      </c>
      <c r="F14" s="2">
        <v>212653</v>
      </c>
      <c r="G14" s="2">
        <v>51301</v>
      </c>
      <c r="H14" s="2">
        <v>-53454</v>
      </c>
    </row>
    <row r="15" spans="1:8" ht="18" customHeight="1">
      <c r="A15" s="1" t="s">
        <v>29</v>
      </c>
      <c r="B15" s="1" t="s">
        <v>7</v>
      </c>
      <c r="C15" s="2">
        <f t="shared" si="0"/>
        <v>59280577</v>
      </c>
      <c r="D15" s="2">
        <v>759058</v>
      </c>
      <c r="E15" s="2">
        <v>540313</v>
      </c>
      <c r="F15" s="2">
        <v>218745</v>
      </c>
      <c r="G15" s="2">
        <v>42193</v>
      </c>
      <c r="H15" s="2">
        <v>-54102</v>
      </c>
    </row>
    <row r="16" spans="1:8" ht="18" customHeight="1">
      <c r="A16" s="1" t="s">
        <v>30</v>
      </c>
      <c r="B16" s="1" t="s">
        <v>7</v>
      </c>
      <c r="C16" s="2">
        <f t="shared" si="0"/>
        <v>59487413</v>
      </c>
      <c r="D16" s="2">
        <v>764028</v>
      </c>
      <c r="E16" s="2">
        <v>544604</v>
      </c>
      <c r="F16" s="2">
        <v>219424</v>
      </c>
      <c r="G16" s="2">
        <v>38241</v>
      </c>
      <c r="H16" s="2">
        <v>-53902</v>
      </c>
    </row>
    <row r="17" spans="1:8" ht="18" customHeight="1">
      <c r="A17" s="1" t="s">
        <v>31</v>
      </c>
      <c r="B17" s="1" t="s">
        <v>7</v>
      </c>
      <c r="C17" s="2">
        <f t="shared" si="0"/>
        <v>59691176</v>
      </c>
      <c r="D17" s="2">
        <v>757384</v>
      </c>
      <c r="E17" s="2">
        <v>539267</v>
      </c>
      <c r="F17" s="2">
        <v>218117</v>
      </c>
      <c r="G17" s="2">
        <v>43279</v>
      </c>
      <c r="H17" s="2">
        <v>-53226</v>
      </c>
    </row>
    <row r="18" spans="1:8" ht="18" customHeight="1">
      <c r="A18" s="1" t="s">
        <v>32</v>
      </c>
      <c r="B18" s="1" t="s">
        <v>7</v>
      </c>
      <c r="C18" s="2">
        <f t="shared" si="0"/>
        <v>59899346</v>
      </c>
      <c r="D18" s="2">
        <v>767906</v>
      </c>
      <c r="E18" s="2">
        <v>543409</v>
      </c>
      <c r="F18" s="2">
        <v>224497</v>
      </c>
      <c r="G18" s="2">
        <v>50228</v>
      </c>
      <c r="H18" s="2">
        <v>-51407</v>
      </c>
    </row>
    <row r="19" spans="1:8" ht="18" customHeight="1">
      <c r="A19" s="1" t="s">
        <v>33</v>
      </c>
      <c r="B19" s="1" t="s">
        <v>7</v>
      </c>
      <c r="C19" s="2">
        <f t="shared" si="0"/>
        <v>60122664</v>
      </c>
      <c r="D19" s="2">
        <v>775796</v>
      </c>
      <c r="E19" s="2">
        <v>547266</v>
      </c>
      <c r="F19" s="2">
        <v>228530</v>
      </c>
      <c r="G19" s="2">
        <v>62500</v>
      </c>
      <c r="H19" s="2">
        <v>94455</v>
      </c>
    </row>
    <row r="20" spans="1:8" ht="18" customHeight="1">
      <c r="A20" s="1" t="s">
        <v>34</v>
      </c>
      <c r="B20" s="1" t="s">
        <v>7</v>
      </c>
      <c r="C20" s="2">
        <f t="shared" si="0"/>
        <v>60508149</v>
      </c>
      <c r="D20" s="2">
        <v>807405</v>
      </c>
      <c r="E20" s="2">
        <v>540601</v>
      </c>
      <c r="F20" s="2">
        <v>266804</v>
      </c>
      <c r="G20" s="2">
        <v>72000</v>
      </c>
      <c r="H20" s="2">
        <v>94456</v>
      </c>
    </row>
    <row r="21" spans="1:8" ht="18" customHeight="1">
      <c r="A21" s="1" t="s">
        <v>35</v>
      </c>
      <c r="B21" s="1" t="s">
        <v>7</v>
      </c>
      <c r="C21" s="2">
        <f t="shared" si="0"/>
        <v>60941409</v>
      </c>
      <c r="D21" s="2">
        <v>803234</v>
      </c>
      <c r="E21" s="2">
        <v>541029</v>
      </c>
      <c r="F21" s="2">
        <v>262205</v>
      </c>
      <c r="G21" s="2">
        <v>87000</v>
      </c>
      <c r="H21" s="2">
        <v>94455</v>
      </c>
    </row>
    <row r="22" spans="1:8" ht="18" customHeight="1">
      <c r="A22" s="1" t="s">
        <v>36</v>
      </c>
      <c r="B22" s="1" t="s">
        <v>7</v>
      </c>
      <c r="C22" s="2">
        <f t="shared" si="0"/>
        <v>61385069</v>
      </c>
      <c r="D22" s="2">
        <v>792745</v>
      </c>
      <c r="E22" s="2">
        <v>545241</v>
      </c>
      <c r="F22" s="2">
        <v>247504</v>
      </c>
      <c r="G22" s="2">
        <v>97000</v>
      </c>
      <c r="H22" s="2">
        <v>94456</v>
      </c>
    </row>
    <row r="23" spans="1:8" ht="18" customHeight="1">
      <c r="A23" s="1" t="s">
        <v>37</v>
      </c>
      <c r="B23" s="1" t="s">
        <v>7</v>
      </c>
      <c r="C23" s="2">
        <f t="shared" si="0"/>
        <v>61824029</v>
      </c>
      <c r="D23" s="2">
        <v>793044</v>
      </c>
      <c r="E23" s="2">
        <v>562467</v>
      </c>
      <c r="F23" s="2">
        <v>230577</v>
      </c>
      <c r="G23" s="2">
        <v>102000</v>
      </c>
      <c r="H23" s="2">
        <v>94455</v>
      </c>
    </row>
    <row r="24" spans="1:8" ht="18" customHeight="1">
      <c r="A24" s="1" t="s">
        <v>38</v>
      </c>
      <c r="B24" s="1" t="s">
        <v>7</v>
      </c>
      <c r="C24" s="2">
        <f t="shared" si="0"/>
        <v>62251061</v>
      </c>
      <c r="D24" s="2">
        <v>799361</v>
      </c>
      <c r="E24" s="2">
        <v>519470</v>
      </c>
      <c r="F24" s="2">
        <v>279891</v>
      </c>
      <c r="G24" s="2">
        <v>105128</v>
      </c>
      <c r="H24" s="2">
        <v>94456</v>
      </c>
    </row>
    <row r="25" spans="1:8" ht="18" customHeight="1">
      <c r="A25" s="1" t="s">
        <v>39</v>
      </c>
      <c r="B25" s="1" t="s">
        <v>7</v>
      </c>
      <c r="C25" s="2">
        <f t="shared" si="0"/>
        <v>62730536</v>
      </c>
      <c r="D25" s="2">
        <v>806822</v>
      </c>
      <c r="E25" s="2">
        <v>538081</v>
      </c>
      <c r="F25" s="2">
        <v>268741</v>
      </c>
      <c r="G25" s="2">
        <v>92192</v>
      </c>
      <c r="H25" s="2">
        <v>94647</v>
      </c>
    </row>
    <row r="26" spans="1:8" ht="18" customHeight="1">
      <c r="A26" s="1" t="s">
        <v>40</v>
      </c>
      <c r="B26" s="1" t="s">
        <v>7</v>
      </c>
      <c r="C26" s="2">
        <f t="shared" si="0"/>
        <v>63186116</v>
      </c>
      <c r="D26" s="2">
        <v>829352</v>
      </c>
      <c r="E26" s="2">
        <v>526920</v>
      </c>
      <c r="F26" s="2">
        <v>302432</v>
      </c>
      <c r="G26" s="2">
        <v>112141</v>
      </c>
      <c r="H26" s="2" t="s">
        <v>6</v>
      </c>
    </row>
    <row r="27" spans="1:8" ht="18" customHeight="1">
      <c r="A27" s="1" t="s">
        <v>41</v>
      </c>
      <c r="B27" s="1" t="s">
        <v>7</v>
      </c>
      <c r="C27" s="2">
        <f t="shared" si="0"/>
        <v>63600689</v>
      </c>
      <c r="D27" s="2">
        <v>818705</v>
      </c>
      <c r="E27" s="2">
        <v>531162</v>
      </c>
      <c r="F27" s="2">
        <v>287543</v>
      </c>
      <c r="G27" s="2">
        <v>73626</v>
      </c>
      <c r="H27" s="2" t="s">
        <v>6</v>
      </c>
    </row>
    <row r="28" spans="1:8" ht="18" customHeight="1">
      <c r="A28" s="1" t="s">
        <v>42</v>
      </c>
      <c r="B28" s="1" t="s">
        <v>7</v>
      </c>
      <c r="C28" s="2">
        <f t="shared" si="0"/>
        <v>63961858</v>
      </c>
      <c r="D28" s="2">
        <v>828404</v>
      </c>
      <c r="E28" s="2">
        <v>542575</v>
      </c>
      <c r="F28" s="2">
        <v>285829</v>
      </c>
      <c r="G28" s="2">
        <v>56812</v>
      </c>
      <c r="H28" s="2" t="s">
        <v>6</v>
      </c>
    </row>
    <row r="29" spans="1:8" ht="18" customHeight="1">
      <c r="A29" s="1" t="s">
        <v>43</v>
      </c>
      <c r="B29" s="1" t="s">
        <v>7</v>
      </c>
      <c r="C29" s="2">
        <f t="shared" si="0"/>
        <v>64304499</v>
      </c>
      <c r="D29" s="2">
        <v>824641</v>
      </c>
      <c r="E29" s="2">
        <v>548541</v>
      </c>
      <c r="F29" s="2">
        <v>276100</v>
      </c>
      <c r="G29" s="2">
        <v>32339</v>
      </c>
      <c r="H29" s="2" t="s">
        <v>6</v>
      </c>
    </row>
    <row r="30" spans="1:8" ht="18" customHeight="1">
      <c r="A30" s="1" t="s">
        <v>44</v>
      </c>
      <c r="B30" s="1" t="s">
        <v>7</v>
      </c>
      <c r="C30" s="2">
        <f t="shared" si="0"/>
        <v>64612938</v>
      </c>
      <c r="D30" s="2">
        <v>832799</v>
      </c>
      <c r="E30" s="2">
        <v>551218</v>
      </c>
      <c r="F30" s="2">
        <v>281581</v>
      </c>
      <c r="G30" s="2">
        <v>38880</v>
      </c>
      <c r="H30" s="2" t="s">
        <v>6</v>
      </c>
    </row>
    <row r="31" spans="1:8" ht="18" customHeight="1">
      <c r="A31" s="1" t="s">
        <v>45</v>
      </c>
      <c r="B31" s="1" t="s">
        <v>7</v>
      </c>
      <c r="C31" s="2">
        <f t="shared" si="0"/>
        <v>64933399</v>
      </c>
      <c r="D31" s="2">
        <v>823394</v>
      </c>
      <c r="E31" s="2">
        <v>545057</v>
      </c>
      <c r="F31" s="2">
        <v>278337</v>
      </c>
      <c r="G31" s="2">
        <v>29504</v>
      </c>
      <c r="H31" s="2" t="s">
        <v>6</v>
      </c>
    </row>
    <row r="32" spans="1:8" ht="18" customHeight="1">
      <c r="A32" s="1" t="s">
        <v>46</v>
      </c>
      <c r="B32" s="1" t="s">
        <v>7</v>
      </c>
      <c r="C32" s="2">
        <f t="shared" si="0"/>
        <v>65241240</v>
      </c>
      <c r="D32" s="2">
        <v>821047</v>
      </c>
      <c r="E32" s="2">
        <v>569868</v>
      </c>
      <c r="F32" s="2">
        <v>251179</v>
      </c>
      <c r="G32" s="2">
        <v>72336</v>
      </c>
      <c r="H32" s="2" t="s">
        <v>6</v>
      </c>
    </row>
    <row r="33" spans="1:8" ht="18" customHeight="1">
      <c r="A33" s="1" t="s">
        <v>47</v>
      </c>
      <c r="B33" s="1" t="s">
        <v>7</v>
      </c>
      <c r="C33" s="2">
        <f t="shared" si="0"/>
        <v>65564755</v>
      </c>
      <c r="D33" s="2">
        <v>811510</v>
      </c>
      <c r="E33" s="2">
        <v>569236</v>
      </c>
      <c r="F33" s="2">
        <v>242274</v>
      </c>
      <c r="G33" s="2">
        <v>100130</v>
      </c>
      <c r="H33" s="2" t="s">
        <v>6</v>
      </c>
    </row>
    <row r="34" spans="1:8" ht="18" customHeight="1">
      <c r="A34" s="4" t="s">
        <v>48</v>
      </c>
      <c r="B34" s="4" t="s">
        <v>7</v>
      </c>
      <c r="C34" s="5">
        <f t="shared" si="0"/>
        <v>65907159</v>
      </c>
      <c r="D34" s="5">
        <v>811384</v>
      </c>
      <c r="E34" s="5">
        <v>558727</v>
      </c>
      <c r="F34" s="5">
        <v>252657</v>
      </c>
      <c r="G34" s="5">
        <v>30463</v>
      </c>
      <c r="H34" s="5" t="s">
        <v>6</v>
      </c>
    </row>
    <row r="35" spans="1:8" ht="18" customHeight="1">
      <c r="A35" s="1" t="s">
        <v>49</v>
      </c>
      <c r="B35" s="1" t="s">
        <v>8</v>
      </c>
      <c r="C35" s="2" t="s">
        <v>9</v>
      </c>
      <c r="D35" s="2">
        <v>818565</v>
      </c>
      <c r="E35" s="2">
        <v>559293</v>
      </c>
      <c r="F35" s="2">
        <v>259272</v>
      </c>
      <c r="G35" s="2">
        <v>32324</v>
      </c>
      <c r="H35" s="2" t="s">
        <v>6</v>
      </c>
    </row>
    <row r="36" spans="1:8" ht="18" customHeight="1">
      <c r="A36" s="1" t="s">
        <v>50</v>
      </c>
      <c r="B36" s="1" t="s">
        <v>8</v>
      </c>
      <c r="C36" s="2">
        <f t="shared" si="0"/>
        <v>66422469</v>
      </c>
      <c r="D36" s="2">
        <v>798948</v>
      </c>
      <c r="E36" s="2">
        <v>593680</v>
      </c>
      <c r="F36" s="2">
        <v>205268</v>
      </c>
      <c r="G36" s="2">
        <v>40238</v>
      </c>
      <c r="H36" s="2">
        <v>-65330</v>
      </c>
    </row>
    <row r="37" spans="1:8" ht="18" customHeight="1">
      <c r="A37" s="1" t="s">
        <v>51</v>
      </c>
      <c r="B37" s="1" t="s">
        <v>8</v>
      </c>
      <c r="C37" s="2">
        <f t="shared" si="0"/>
        <v>66602645</v>
      </c>
      <c r="D37" s="2">
        <v>783640</v>
      </c>
      <c r="E37" s="2">
        <v>593865</v>
      </c>
      <c r="F37" s="2">
        <v>189775</v>
      </c>
      <c r="G37" s="2">
        <v>65044</v>
      </c>
      <c r="H37" s="2">
        <v>-82982</v>
      </c>
    </row>
    <row r="38" spans="1:8" ht="18" customHeight="1">
      <c r="A38" s="1" t="s">
        <v>52</v>
      </c>
      <c r="B38" s="1" t="s">
        <v>8</v>
      </c>
      <c r="C38" s="2">
        <f t="shared" si="0"/>
        <v>66774482</v>
      </c>
      <c r="D38" s="2">
        <v>769553</v>
      </c>
      <c r="E38" s="2">
        <v>606274</v>
      </c>
      <c r="F38" s="2">
        <v>163279</v>
      </c>
      <c r="G38" s="2">
        <v>154661</v>
      </c>
      <c r="H38" s="2">
        <v>-100263</v>
      </c>
    </row>
    <row r="39" spans="1:8" ht="18" customHeight="1">
      <c r="A39" s="1" t="s">
        <v>53</v>
      </c>
      <c r="B39" s="1" t="s">
        <v>8</v>
      </c>
      <c r="C39" s="2">
        <f t="shared" si="0"/>
        <v>66992159</v>
      </c>
      <c r="D39" s="2">
        <v>758590</v>
      </c>
      <c r="E39" s="2">
        <v>609648</v>
      </c>
      <c r="F39" s="2">
        <v>148942</v>
      </c>
      <c r="G39" s="2">
        <v>200506</v>
      </c>
      <c r="H39" s="2">
        <v>-83625</v>
      </c>
    </row>
    <row r="40" spans="1:8" ht="18" customHeight="1">
      <c r="A40" s="1" t="s">
        <v>54</v>
      </c>
      <c r="B40" s="1" t="s">
        <v>8</v>
      </c>
      <c r="C40" s="2">
        <f t="shared" si="0"/>
        <v>67257982</v>
      </c>
      <c r="D40" s="2">
        <v>753383</v>
      </c>
      <c r="E40" s="2">
        <v>613243</v>
      </c>
      <c r="F40" s="2">
        <v>140140</v>
      </c>
      <c r="G40" s="2">
        <v>127621</v>
      </c>
      <c r="H40" s="2">
        <v>-83893</v>
      </c>
    </row>
    <row r="41" spans="1:8" ht="18" customHeight="1">
      <c r="A41" s="1" t="s">
        <v>55</v>
      </c>
      <c r="B41" s="1" t="s">
        <v>10</v>
      </c>
      <c r="C41" s="2">
        <f t="shared" si="0"/>
        <v>67441850</v>
      </c>
      <c r="D41" s="2">
        <v>735196</v>
      </c>
      <c r="E41" s="2">
        <v>668922</v>
      </c>
      <c r="F41" s="2">
        <v>66274</v>
      </c>
      <c r="G41" s="2">
        <v>161000</v>
      </c>
      <c r="H41" s="2">
        <v>-34000</v>
      </c>
    </row>
    <row r="42" spans="1:8" ht="18" customHeight="1">
      <c r="A42" s="1">
        <v>2022</v>
      </c>
      <c r="B42" s="1" t="s">
        <v>10</v>
      </c>
      <c r="C42" s="2">
        <f t="shared" si="0"/>
        <v>67635124</v>
      </c>
      <c r="D42" s="2">
        <v>742052</v>
      </c>
      <c r="E42" s="2">
        <v>661585</v>
      </c>
      <c r="F42" s="2">
        <v>80467</v>
      </c>
      <c r="G42" s="2">
        <v>161000</v>
      </c>
      <c r="H42" s="2">
        <v>-34000</v>
      </c>
    </row>
    <row r="43" spans="1:8" ht="18" customHeight="1">
      <c r="A43" s="1" t="s">
        <v>56</v>
      </c>
      <c r="B43" s="1" t="s">
        <v>10</v>
      </c>
      <c r="C43" s="2">
        <f t="shared" si="0"/>
        <v>67842591</v>
      </c>
      <c r="D43" s="2">
        <v>723000</v>
      </c>
      <c r="E43" s="2">
        <v>667000</v>
      </c>
      <c r="F43" s="2">
        <v>56000</v>
      </c>
      <c r="G43" s="2">
        <v>161000</v>
      </c>
      <c r="H43" s="2">
        <v>-17000</v>
      </c>
    </row>
    <row r="44" spans="1:8" ht="18" customHeight="1">
      <c r="A44" s="1" t="s">
        <v>57</v>
      </c>
      <c r="B44" s="1" t="s">
        <v>10</v>
      </c>
      <c r="C44" s="1" t="s">
        <v>11</v>
      </c>
      <c r="D44" s="1" t="s">
        <v>11</v>
      </c>
      <c r="E44" s="1" t="s">
        <v>11</v>
      </c>
      <c r="F44" s="8" t="s">
        <v>11</v>
      </c>
      <c r="G44" s="8" t="s">
        <v>11</v>
      </c>
      <c r="H44" s="1" t="s">
        <v>11</v>
      </c>
    </row>
    <row r="45" spans="1:8" ht="18" customHeight="1">
      <c r="A45" s="3" t="s">
        <v>58</v>
      </c>
      <c r="B45" s="3" t="s">
        <v>5</v>
      </c>
      <c r="C45" s="3" t="s">
        <v>5</v>
      </c>
      <c r="D45" s="3" t="s">
        <v>5</v>
      </c>
      <c r="E45" s="3" t="s">
        <v>5</v>
      </c>
      <c r="F45" s="9" t="s">
        <v>5</v>
      </c>
      <c r="G45" s="9" t="s">
        <v>5</v>
      </c>
      <c r="H45" s="3" t="s">
        <v>5</v>
      </c>
    </row>
    <row r="46" spans="1:8" ht="18" customHeight="1">
      <c r="A46" s="3" t="s">
        <v>59</v>
      </c>
      <c r="B46" s="3" t="s">
        <v>5</v>
      </c>
      <c r="C46" s="3" t="s">
        <v>5</v>
      </c>
      <c r="D46" s="3" t="s">
        <v>5</v>
      </c>
      <c r="E46" s="3" t="s">
        <v>5</v>
      </c>
      <c r="F46" s="9" t="s">
        <v>5</v>
      </c>
      <c r="G46" s="9" t="s">
        <v>5</v>
      </c>
      <c r="H46" s="3" t="s">
        <v>5</v>
      </c>
    </row>
    <row r="48" spans="1:8" ht="30" customHeight="1">
      <c r="A48" s="6" t="s">
        <v>12</v>
      </c>
      <c r="B48" s="6"/>
      <c r="C48" s="6"/>
      <c r="D48" s="6"/>
      <c r="E48" s="6"/>
      <c r="F48" s="6"/>
      <c r="G48" s="6"/>
      <c r="H48" s="6"/>
    </row>
    <row r="49" spans="1:8" ht="30" customHeight="1">
      <c r="A49" s="6" t="s">
        <v>13</v>
      </c>
      <c r="B49" s="6"/>
      <c r="C49" s="6"/>
      <c r="D49" s="6"/>
      <c r="E49" s="6"/>
      <c r="F49" s="6"/>
      <c r="G49" s="6"/>
      <c r="H49" s="6"/>
    </row>
    <row r="50" spans="1:8" ht="30" customHeight="1">
      <c r="A50" s="6" t="s">
        <v>14</v>
      </c>
      <c r="B50" s="6"/>
      <c r="C50" s="6"/>
      <c r="D50" s="6"/>
      <c r="E50" s="6"/>
      <c r="F50" s="6"/>
      <c r="G50" s="6"/>
      <c r="H50" s="6"/>
    </row>
    <row r="51" spans="1:8" ht="30" customHeight="1">
      <c r="A51" s="6" t="s">
        <v>15</v>
      </c>
      <c r="B51" s="6"/>
      <c r="C51" s="6"/>
      <c r="D51" s="6"/>
      <c r="E51" s="6"/>
      <c r="F51" s="6"/>
      <c r="G51" s="6"/>
      <c r="H51" s="6"/>
    </row>
    <row r="52" spans="1:8" ht="30" customHeight="1">
      <c r="A52" s="6" t="s">
        <v>16</v>
      </c>
      <c r="B52" s="6"/>
      <c r="C52" s="6"/>
      <c r="D52" s="6"/>
      <c r="E52" s="6"/>
      <c r="F52" s="6"/>
      <c r="G52" s="6"/>
      <c r="H52" s="6"/>
    </row>
  </sheetData>
  <mergeCells count="5">
    <mergeCell ref="A48:H48"/>
    <mergeCell ref="A52:H52"/>
    <mergeCell ref="A49:H49"/>
    <mergeCell ref="A50:H50"/>
    <mergeCell ref="A51:H51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F24"/>
  <sheetViews>
    <sheetView tabSelected="1" topLeftCell="A4" workbookViewId="0">
      <selection activeCell="D18" sqref="D18:F19"/>
    </sheetView>
  </sheetViews>
  <sheetFormatPr baseColWidth="10" defaultColWidth="9.140625" defaultRowHeight="15"/>
  <cols>
    <col min="1" max="1" width="36.7109375" customWidth="1"/>
    <col min="2" max="2" width="10" bestFit="1" customWidth="1"/>
  </cols>
  <sheetData>
    <row r="1" spans="1:6">
      <c r="A1" s="10" t="s">
        <v>64</v>
      </c>
    </row>
    <row r="3" spans="1:6">
      <c r="A3" t="s">
        <v>65</v>
      </c>
      <c r="B3" s="11">
        <f>AVERAGE('tp8'!D2:D43)</f>
        <v>788837.90476190473</v>
      </c>
    </row>
    <row r="4" spans="1:6">
      <c r="A4" t="s">
        <v>66</v>
      </c>
      <c r="B4" s="11">
        <f>AVERAGE('tp8'!E2:E43)</f>
        <v>560324.16666666663</v>
      </c>
    </row>
    <row r="5" spans="1:6">
      <c r="A5" t="s">
        <v>67</v>
      </c>
      <c r="B5" s="11">
        <f>AVERAGE('tp8'!G2:G43)</f>
        <v>77404.595238095237</v>
      </c>
    </row>
    <row r="7" spans="1:6">
      <c r="A7" t="s">
        <v>68</v>
      </c>
      <c r="B7">
        <f>COUNTA('tp8'!A2:A43)</f>
        <v>42</v>
      </c>
    </row>
    <row r="8" spans="1:6">
      <c r="A8" t="s">
        <v>69</v>
      </c>
      <c r="B8">
        <f>COUNTIF('tp8'!D2:D43, "&gt;700000")</f>
        <v>42</v>
      </c>
    </row>
    <row r="9" spans="1:6">
      <c r="A9" t="s">
        <v>70</v>
      </c>
      <c r="B9">
        <f>COUNTIF('tp8'!D2:D43, "&lt;700000")</f>
        <v>0</v>
      </c>
    </row>
    <row r="10" spans="1:6">
      <c r="A10" t="s">
        <v>71</v>
      </c>
      <c r="B10" s="11">
        <f>COUNTIF('tp8'!D2:D43, "&gt;750000") - COUNTIF('tp8'!D2:D43, "&gt;=800000")</f>
        <v>21</v>
      </c>
    </row>
    <row r="12" spans="1:6">
      <c r="A12" t="s">
        <v>72</v>
      </c>
      <c r="B12" s="12">
        <f>MAX('tp8'!D2:D43)</f>
        <v>832799</v>
      </c>
    </row>
    <row r="13" spans="1:6">
      <c r="A13" t="s">
        <v>73</v>
      </c>
      <c r="B13" s="11">
        <f>MIN('tp8'!D2:D43)</f>
        <v>723000</v>
      </c>
    </row>
    <row r="15" spans="1:6">
      <c r="A15" t="s">
        <v>74</v>
      </c>
      <c r="B15" t="str">
        <f>INDEX('tp8'!A2:A43, MATCH(MAX('tp8'!D2:D43), 'tp8'!D2:D43, 0))</f>
        <v>2010</v>
      </c>
      <c r="D15" s="13"/>
      <c r="E15" s="13"/>
      <c r="F15" s="13"/>
    </row>
    <row r="16" spans="1:6">
      <c r="A16" t="s">
        <v>75</v>
      </c>
      <c r="B16" t="str">
        <f>INDEX('tp8'!A2:A43, MATCH(MIN('tp8'!D2:D43), 'tp8'!D2:D43, 0))</f>
        <v>2023</v>
      </c>
      <c r="D16" s="13"/>
      <c r="E16" s="13"/>
      <c r="F16" s="13"/>
    </row>
    <row r="18" spans="1:6">
      <c r="A18" t="s">
        <v>76</v>
      </c>
      <c r="B18" s="11">
        <f>MAX('tp8'!E2:E43)</f>
        <v>668922</v>
      </c>
      <c r="D18" s="13"/>
      <c r="E18" s="13"/>
      <c r="F18" s="13"/>
    </row>
    <row r="19" spans="1:6">
      <c r="A19" t="s">
        <v>77</v>
      </c>
      <c r="B19" s="11">
        <f>MIN('tp8'!E2:E43)</f>
        <v>519470</v>
      </c>
      <c r="D19" s="13"/>
      <c r="E19" s="13"/>
      <c r="F19" s="13"/>
    </row>
    <row r="21" spans="1:6">
      <c r="A21" t="s">
        <v>78</v>
      </c>
      <c r="B21" t="str">
        <f>INDEX('tp8'!A8:A49, MATCH(MAX('tp8'!E8:E49), 'tp8'!E8:E49, 0))</f>
        <v>2021</v>
      </c>
    </row>
    <row r="22" spans="1:6">
      <c r="A22" t="s">
        <v>79</v>
      </c>
      <c r="B22" t="str">
        <f>INDEX('tp8'!A8:A49, MATCH(MIN('tp8'!E8:E49), 'tp8'!E8:E49, 0))</f>
        <v>2004</v>
      </c>
    </row>
    <row r="24" spans="1:6">
      <c r="A24" t="s">
        <v>80</v>
      </c>
      <c r="B24" s="11">
        <f>MAX('tp8'!D2:D43)</f>
        <v>832799</v>
      </c>
    </row>
  </sheetData>
  <mergeCells count="2">
    <mergeCell ref="D15:F16"/>
    <mergeCell ref="D18:F19"/>
  </mergeCell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8C4382D9-AE62-4BFC-9F89-E863E5D671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'tp8'!E2:E43</xm:f>
              <xm:sqref>D18</xm:sqref>
            </x14:sparkline>
          </x14:sparklines>
        </x14:sparklineGroup>
        <x14:sparklineGroup type="column" displayEmptyCellsAs="gap" high="1" xr2:uid="{684B782D-B36C-443C-8ACD-B9AA7ED4F2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'tp8'!D2:D43</xm:f>
              <xm:sqref>D15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A0C684-F811-4C67-9BD7-C07E69F6D0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tp8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BreizhHardware</dc:creator>
  <cp:lastModifiedBy>Félix MARQUET (CIR2)</cp:lastModifiedBy>
  <dcterms:created xsi:type="dcterms:W3CDTF">2015-06-05T18:17:20Z</dcterms:created>
  <dcterms:modified xsi:type="dcterms:W3CDTF">2023-11-22T16:05:58Z</dcterms:modified>
</cp:coreProperties>
</file>